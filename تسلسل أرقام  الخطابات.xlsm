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pensoftwareit-my.sharepoint.com/personal/mohamed_fayad_alrubaishi_com/Documents/الربيشي العقارية/الشؤون الإدارية/خطابات/"/>
    </mc:Choice>
  </mc:AlternateContent>
  <xr:revisionPtr revIDLastSave="185" documentId="11_5B40E8FF81CFC77CADB048139C5C8017C0EC396F" xr6:coauthVersionLast="47" xr6:coauthVersionMax="47" xr10:uidLastSave="{5B100D8E-6DD6-4F44-8E9A-F3D0388FC4F8}"/>
  <bookViews>
    <workbookView xWindow="28692" yWindow="-108" windowWidth="29016" windowHeight="15696" tabRatio="657" xr2:uid="{00000000-000D-0000-FFFF-FFFF00000000}"/>
  </bookViews>
  <sheets>
    <sheet name="العقارية" sheetId="10" r:id="rId1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0" l="1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28" i="10"/>
  <c r="B20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28" i="10"/>
  <c r="B25" i="10"/>
  <c r="F25" i="10"/>
  <c r="B26" i="10"/>
  <c r="F26" i="10"/>
  <c r="B27" i="10"/>
  <c r="F27" i="10"/>
  <c r="B30" i="10"/>
  <c r="F30" i="10"/>
  <c r="B29" i="10"/>
  <c r="F29" i="10"/>
  <c r="B21" i="10"/>
  <c r="F21" i="10"/>
  <c r="B22" i="10"/>
  <c r="F22" i="10"/>
  <c r="B23" i="10"/>
  <c r="F23" i="10"/>
  <c r="B24" i="10"/>
  <c r="F24" i="10"/>
</calcChain>
</file>

<file path=xl/sharedStrings.xml><?xml version="1.0" encoding="utf-8"?>
<sst xmlns="http://schemas.openxmlformats.org/spreadsheetml/2006/main" count="94" uniqueCount="64">
  <si>
    <t>عنوان الخطاب</t>
  </si>
  <si>
    <t>رقم الخطاب</t>
  </si>
  <si>
    <t>التاريخ</t>
  </si>
  <si>
    <t>AAR-2026-04-0001</t>
  </si>
  <si>
    <t>الثلاجة العالمية</t>
  </si>
  <si>
    <t>#</t>
  </si>
  <si>
    <t>الشركة/ الجهة</t>
  </si>
  <si>
    <t>صادر / وارد</t>
  </si>
  <si>
    <t>مطالبة بسداد قيمة الإيجار المستحقة بعد إلغاء طلب التنفيذ</t>
  </si>
  <si>
    <t>صادر</t>
  </si>
  <si>
    <t>وارد</t>
  </si>
  <si>
    <t>AAR-2026-04-0002</t>
  </si>
  <si>
    <t>شركة الكهرباء</t>
  </si>
  <si>
    <t>طلب رفع أمبير عداد الكهرباء من 30 الى 70 أمبير</t>
  </si>
  <si>
    <t>ملاحظات</t>
  </si>
  <si>
    <t xml:space="preserve">الخطابات الصادرة والواردة </t>
  </si>
  <si>
    <t>شركة الجزيرة للدهانات</t>
  </si>
  <si>
    <t>مطالبة بتحويل قيمة فواتير استهلاك الكهرباء</t>
  </si>
  <si>
    <t>AAR-2026-06-0003</t>
  </si>
  <si>
    <t>طلب رفع أمبير عداد الكهرباء من 30 الى 60 &amp; 100 أمبير</t>
  </si>
  <si>
    <t>AAR-2026-06-0004</t>
  </si>
  <si>
    <t>مصرف الراجحي</t>
  </si>
  <si>
    <t>اصدار شهادة إيداع راس مال تأسيس شركة بنيان الأجيال</t>
  </si>
  <si>
    <t>AAR-2026-06-0005</t>
  </si>
  <si>
    <t>مطية الخير</t>
  </si>
  <si>
    <t>إخلاء الورش لعدم سداد قيمة الإيجار</t>
  </si>
  <si>
    <t>AAR-2026-06-0006</t>
  </si>
  <si>
    <t>طلب رفع أمبير عداد الكهرباء من 200 الى 630 أمبير</t>
  </si>
  <si>
    <t>AAR-2026-06-0007</t>
  </si>
  <si>
    <t>طلب رفع أمبير عداد الكهرباء من  30 الى 200 أمبير فيلا جدة</t>
  </si>
  <si>
    <t>AAR-2026-06-0008</t>
  </si>
  <si>
    <t>مستأجر</t>
  </si>
  <si>
    <t>اعفاء مديونية المستأجر حمد عدنان كنعاني</t>
  </si>
  <si>
    <t>AAR-2026-06-0009</t>
  </si>
  <si>
    <t>مستأجرين الفلاح</t>
  </si>
  <si>
    <t>إنذار بإزالة مخالفة استخدام الميزانين سكناً وإعادة الوضع إلى أصله</t>
  </si>
  <si>
    <t>AAR-2026-06-0010</t>
  </si>
  <si>
    <t>مطالبة بسداد قيمة الإيجار المستحق</t>
  </si>
  <si>
    <t>AAR-2026-06-0011</t>
  </si>
  <si>
    <t>انذار بسداد قيمة الايجار المستحق وعدم رغبة في تجديد العقد</t>
  </si>
  <si>
    <t>مستأجر مكتب 3 مخرج 14</t>
  </si>
  <si>
    <t>شركة النخلة الأهلية الأمنية</t>
  </si>
  <si>
    <t>خصم إيجار لصالح المستأجر شركة النخلة الأهلية الأمنية</t>
  </si>
  <si>
    <t>AAR-2026-08-0012</t>
  </si>
  <si>
    <t>إشعار بطلب خصم بسبب التأخر في إتمام الصيانة</t>
  </si>
  <si>
    <t>بدون رقم</t>
  </si>
  <si>
    <t>بدون تاريخ</t>
  </si>
  <si>
    <t>لايف ابيكس هولدينج</t>
  </si>
  <si>
    <t>AAR-2026-08-0013</t>
  </si>
  <si>
    <t xml:space="preserve"> تسليم عدد 2 ريموت مواقف سيارات في قبو مبنى الشركة</t>
  </si>
  <si>
    <t>AAR-2026-08-0014</t>
  </si>
  <si>
    <t>AAR-2026-08-0015</t>
  </si>
  <si>
    <t>شركة أسواق عبدالله العثيم</t>
  </si>
  <si>
    <t>شركة تصميم الفخامة للتجارة</t>
  </si>
  <si>
    <t>شركة هامور المملكة التجارية</t>
  </si>
  <si>
    <t>شركة اعمال المتحدة العربية</t>
  </si>
  <si>
    <t>شركة نور جيت</t>
  </si>
  <si>
    <t xml:space="preserve">شركة مشاهير المطابخ المحدودة </t>
  </si>
  <si>
    <t xml:space="preserve">خصم شهرين من قيمة الايجار المستحق  على المستأجر ورشة رقم 422/1 </t>
  </si>
  <si>
    <t xml:space="preserve">خصم شهرين من قيمة الايجار المستحق  على المستأجر ورشة رقم 422/2 </t>
  </si>
  <si>
    <t xml:space="preserve">خصم شهرين من قيمة الايجار المستحق  على المستأجر ورشة رقم 422/3 </t>
  </si>
  <si>
    <t xml:space="preserve">خصم شهرين من قيمة الايجار المستحق  على المستأجر ورشة رقم 422/4,5 </t>
  </si>
  <si>
    <t xml:space="preserve">خصم شهرين من قيمة الايجار المستحق  على المستأجر ورشة رقم  409/3 </t>
  </si>
  <si>
    <t>لايوجد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</si>
</sst>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8"/>
      <color theme="1"/>
      <name val="Sakkal Majalla"/>
    </font>
    <font>
      <sz val="8"/>
      <name val="Calibri"/>
      <family val="2"/>
      <scheme val="minor"/>
    </font>
    <font>
      <sz val="14"/>
      <color theme="1"/>
      <name val="Sakkal Majalla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8"/>
      <color theme="1"/>
      <name val="Sakkal Majalla"/>
    </font>
    <font>
      <sz val="12"/>
      <color theme="1"/>
      <name val="Sakkal Majalla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theme="4"/>
      </right>
      <top/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14" fontId="8" fillId="0" borderId="12" xfId="0" applyNumberFormat="1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font>
        <strike val="0"/>
        <outline val="0"/>
        <shadow val="0"/>
        <u val="none"/>
        <vertAlign val="baseline"/>
        <sz val="12"/>
        <color theme="1"/>
        <name val="Sakkal Majalla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akkal Majalla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akkal Majalla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akkal Majall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Sakkal Majall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Sakkal Majall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Sakkal Majall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Sakkal Majall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Sakkal Majall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AA4AB3-33BF-406B-9728-34DDD71515C3}" name="Table2" displayName="Table2" ref="A2:G68" totalsRowShown="0" headerRowDxfId="11" dataDxfId="0" headerRowBorderDxfId="10" tableBorderDxfId="9" totalsRowBorderDxfId="8">
  <autoFilter ref="A2:G68" xr:uid="{C9AA4AB3-33BF-406B-9728-34DDD71515C3}"/>
  <tableColumns count="7">
    <tableColumn id="1" xr3:uid="{11032C9F-51AB-4F8B-9095-EA2989B58BDD}" name="#" dataDxfId="7">
      <calculatedColumnFormula>IF(COUNTA(C3:C$1000)=0,"",ROW()-ROW($A$2))</calculatedColumnFormula>
    </tableColumn>
    <tableColumn id="2" xr3:uid="{4C174AB2-EB41-4137-B55A-98B848EE35FC}" name="رقم الخطاب" dataDxfId="6"/>
    <tableColumn id="3" xr3:uid="{44540FB3-8B90-429F-B946-29144B5B0E05}" name="الشركة/ الجهة" dataDxfId="5"/>
    <tableColumn id="4" xr3:uid="{776E9954-58E3-4BB3-8884-3ED8D929EAE5}" name="عنوان الخطاب" dataDxfId="4"/>
    <tableColumn id="6" xr3:uid="{07A3B538-BE78-4ACF-A98E-E592FA3B09A9}" name="صادر / وارد" dataDxfId="3"/>
    <tableColumn id="5" xr3:uid="{89F13B0A-F7FE-44D0-8884-FFE7DD08935A}" name="التاريخ" dataDxfId="2"/>
    <tableColumn id="7" xr3:uid="{B3173C80-9700-4083-8A67-81BBA18B97BA}" name="ملاحظات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2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88FB39B-0EEA-41A6-B89D-C325CF7A1090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60d59542-caca-4d2b-8f3e-ca2e0e1e3cbe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3BE61-C178-47DD-AFD9-9FED8FC9BC71}">
  <sheetPr codeName="Sheet1"/>
  <dimension ref="A1:H68"/>
  <sheetViews>
    <sheetView rightToLeft="1" tabSelected="1" zoomScale="115" zoomScaleNormal="115"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D18" sqref="D18"/>
    </sheetView>
  </sheetViews>
  <sheetFormatPr defaultRowHeight="18" x14ac:dyDescent="0.35"/>
  <cols>
    <col min="1" max="1" width="7.77734375" style="1" customWidth="1"/>
    <col min="2" max="2" width="20.88671875" style="1" customWidth="1"/>
    <col min="3" max="3" width="23.109375" style="1" customWidth="1"/>
    <col min="4" max="4" width="52.88671875" style="6" customWidth="1"/>
    <col min="5" max="5" width="13.5546875" style="1" bestFit="1" customWidth="1"/>
    <col min="6" max="6" width="13" style="1" customWidth="1"/>
    <col min="7" max="7" width="32.5546875" style="1" customWidth="1"/>
    <col min="8" max="8" width="20.77734375" customWidth="1"/>
  </cols>
  <sheetData>
    <row r="1" spans="1:8" ht="33.6" customHeight="1" x14ac:dyDescent="0.3">
      <c r="A1" s="7" t="s">
        <v>15</v>
      </c>
      <c r="B1" s="7"/>
      <c r="C1" s="7"/>
      <c r="D1" s="7"/>
      <c r="E1" s="7"/>
      <c r="F1" s="7"/>
      <c r="G1" s="8"/>
    </row>
    <row r="2" spans="1:8" ht="25.2" customHeight="1" x14ac:dyDescent="0.3">
      <c r="A2" s="2" t="s">
        <v>5</v>
      </c>
      <c r="B2" s="3" t="s">
        <v>1</v>
      </c>
      <c r="C2" s="3" t="s">
        <v>6</v>
      </c>
      <c r="D2" s="5" t="s">
        <v>0</v>
      </c>
      <c r="E2" s="4" t="s">
        <v>7</v>
      </c>
      <c r="F2" s="10" t="s">
        <v>2</v>
      </c>
      <c r="G2" s="10" t="s">
        <v>14</v>
      </c>
    </row>
    <row r="3" spans="1:8" x14ac:dyDescent="0.3">
      <c r="A3" s="11">
        <f>IF(COUNTA(C3:C$1000)=0,"",ROW()-ROW($A$2))</f>
        <v>1</v>
      </c>
      <c r="B3" s="12" t="s">
        <v>63</v>
      </c>
      <c r="C3" s="12" t="s">
        <v>16</v>
      </c>
      <c r="D3" s="12" t="s">
        <v>17</v>
      </c>
      <c r="E3" s="13" t="s">
        <v>9</v>
      </c>
      <c r="F3" s="14">
        <v>46134</v>
      </c>
      <c r="G3" s="15"/>
    </row>
    <row r="4" spans="1:8" ht="31.8" customHeight="1" x14ac:dyDescent="0.3">
      <c r="A4" s="11">
        <f>IF(COUNTA(C4:C$1000)=0,"",ROW()-ROW($A$2))</f>
        <v>2</v>
      </c>
      <c r="B4" s="12" t="s">
        <v>3</v>
      </c>
      <c r="C4" s="12" t="s">
        <v>4</v>
      </c>
      <c r="D4" s="12" t="s">
        <v>8</v>
      </c>
      <c r="E4" s="13" t="s">
        <v>9</v>
      </c>
      <c r="F4" s="14">
        <v>46138</v>
      </c>
      <c r="G4" s="15"/>
      <c r="H4" s="9" t="s">
        <v>9</v>
      </c>
    </row>
    <row r="5" spans="1:8" ht="27" customHeight="1" x14ac:dyDescent="0.3">
      <c r="A5" s="11">
        <f>IF(COUNTA(C5:C$1000)=0,"",ROW()-ROW($A$2))</f>
        <v>3</v>
      </c>
      <c r="B5" s="12" t="s">
        <v>11</v>
      </c>
      <c r="C5" s="12" t="s">
        <v>12</v>
      </c>
      <c r="D5" s="12" t="s">
        <v>13</v>
      </c>
      <c r="E5" s="13" t="s">
        <v>9</v>
      </c>
      <c r="F5" s="14">
        <v>46141</v>
      </c>
      <c r="G5" s="15"/>
      <c r="H5" s="9" t="s">
        <v>10</v>
      </c>
    </row>
    <row r="6" spans="1:8" ht="27" customHeight="1" x14ac:dyDescent="0.3">
      <c r="A6" s="11">
        <f>IF(COUNTA(C6:C$1000)=0,"",ROW()-ROW($A$2))</f>
        <v>4</v>
      </c>
      <c r="B6" s="12" t="s">
        <v>18</v>
      </c>
      <c r="C6" s="12" t="s">
        <v>12</v>
      </c>
      <c r="D6" s="12" t="s">
        <v>19</v>
      </c>
      <c r="E6" s="13" t="s">
        <v>9</v>
      </c>
      <c r="F6" s="14">
        <v>46183</v>
      </c>
      <c r="G6" s="15"/>
    </row>
    <row r="7" spans="1:8" ht="27" customHeight="1" x14ac:dyDescent="0.3">
      <c r="A7" s="11">
        <f>IF(COUNTA(C7:C$1000)=0,"",ROW()-ROW($A$2))</f>
        <v>5</v>
      </c>
      <c r="B7" s="12" t="s">
        <v>20</v>
      </c>
      <c r="C7" s="12" t="s">
        <v>21</v>
      </c>
      <c r="D7" s="12" t="s">
        <v>22</v>
      </c>
      <c r="E7" s="13" t="s">
        <v>9</v>
      </c>
      <c r="F7" s="14">
        <v>46194</v>
      </c>
      <c r="G7" s="15"/>
    </row>
    <row r="8" spans="1:8" ht="27" customHeight="1" x14ac:dyDescent="0.3">
      <c r="A8" s="11">
        <f>IF(COUNTA(C8:C$1000)=0,"",ROW()-ROW($A$2))</f>
        <v>6</v>
      </c>
      <c r="B8" s="12" t="s">
        <v>23</v>
      </c>
      <c r="C8" s="12" t="s">
        <v>24</v>
      </c>
      <c r="D8" s="12" t="s">
        <v>25</v>
      </c>
      <c r="E8" s="13" t="s">
        <v>9</v>
      </c>
      <c r="F8" s="14">
        <v>46209</v>
      </c>
      <c r="G8" s="15"/>
    </row>
    <row r="9" spans="1:8" ht="27" customHeight="1" x14ac:dyDescent="0.3">
      <c r="A9" s="11">
        <f>IF(COUNTA(C9:C$1000)=0,"",ROW()-ROW($A$2))</f>
        <v>7</v>
      </c>
      <c r="B9" s="12" t="s">
        <v>26</v>
      </c>
      <c r="C9" s="12" t="s">
        <v>12</v>
      </c>
      <c r="D9" s="12" t="s">
        <v>27</v>
      </c>
      <c r="E9" s="13" t="s">
        <v>9</v>
      </c>
      <c r="F9" s="14">
        <v>46209</v>
      </c>
      <c r="G9" s="15"/>
    </row>
    <row r="10" spans="1:8" ht="27" customHeight="1" x14ac:dyDescent="0.3">
      <c r="A10" s="11">
        <f>IF(COUNTA(C10:C$1000)=0,"",ROW()-ROW($A$2))</f>
        <v>8</v>
      </c>
      <c r="B10" s="12" t="s">
        <v>28</v>
      </c>
      <c r="C10" s="12" t="s">
        <v>12</v>
      </c>
      <c r="D10" s="12" t="s">
        <v>29</v>
      </c>
      <c r="E10" s="13" t="s">
        <v>9</v>
      </c>
      <c r="F10" s="14">
        <v>46215</v>
      </c>
      <c r="G10" s="15"/>
    </row>
    <row r="11" spans="1:8" ht="27" customHeight="1" x14ac:dyDescent="0.3">
      <c r="A11" s="11">
        <f>IF(COUNTA(C11:C$1000)=0,"",ROW()-ROW($A$2))</f>
        <v>9</v>
      </c>
      <c r="B11" s="12" t="s">
        <v>30</v>
      </c>
      <c r="C11" s="12" t="s">
        <v>31</v>
      </c>
      <c r="D11" s="12" t="s">
        <v>32</v>
      </c>
      <c r="E11" s="13" t="s">
        <v>9</v>
      </c>
      <c r="F11" s="14">
        <v>46217</v>
      </c>
      <c r="G11" s="15"/>
    </row>
    <row r="12" spans="1:8" ht="27" customHeight="1" x14ac:dyDescent="0.3">
      <c r="A12" s="11">
        <f>IF(COUNTA(C12:C$1000)=0,"",ROW()-ROW($A$2))</f>
        <v>10</v>
      </c>
      <c r="B12" s="12" t="s">
        <v>33</v>
      </c>
      <c r="C12" s="12" t="s">
        <v>34</v>
      </c>
      <c r="D12" s="12" t="s">
        <v>35</v>
      </c>
      <c r="E12" s="13" t="s">
        <v>9</v>
      </c>
      <c r="F12" s="14">
        <v>46231</v>
      </c>
      <c r="G12" s="15"/>
    </row>
    <row r="13" spans="1:8" ht="27" customHeight="1" x14ac:dyDescent="0.3">
      <c r="A13" s="11">
        <f>IF(COUNTA(C13:C$1000)=0,"",ROW()-ROW($A$2))</f>
        <v>11</v>
      </c>
      <c r="B13" s="12" t="s">
        <v>36</v>
      </c>
      <c r="C13" s="12" t="s">
        <v>4</v>
      </c>
      <c r="D13" s="12" t="s">
        <v>37</v>
      </c>
      <c r="E13" s="13" t="s">
        <v>9</v>
      </c>
      <c r="F13" s="14">
        <v>46239</v>
      </c>
      <c r="G13" s="15"/>
    </row>
    <row r="14" spans="1:8" ht="27" customHeight="1" x14ac:dyDescent="0.3">
      <c r="A14" s="11">
        <f>IF(COUNTA(C14:C$1000)=0,"",ROW()-ROW($A$2))</f>
        <v>12</v>
      </c>
      <c r="B14" s="12" t="s">
        <v>38</v>
      </c>
      <c r="C14" s="12" t="s">
        <v>40</v>
      </c>
      <c r="D14" s="12" t="s">
        <v>39</v>
      </c>
      <c r="E14" s="13" t="s">
        <v>9</v>
      </c>
      <c r="F14" s="14">
        <v>46252</v>
      </c>
      <c r="G14" s="15"/>
    </row>
    <row r="15" spans="1:8" ht="27" customHeight="1" x14ac:dyDescent="0.3">
      <c r="A15" s="11">
        <f>IF(COUNTA(C15:C$1000)=0,"",ROW()-ROW($A$2))</f>
        <v>13</v>
      </c>
      <c r="B15" s="12" t="s">
        <v>45</v>
      </c>
      <c r="C15" s="12" t="s">
        <v>41</v>
      </c>
      <c r="D15" s="12" t="s">
        <v>44</v>
      </c>
      <c r="E15" s="13" t="s">
        <v>10</v>
      </c>
      <c r="F15" s="14" t="s">
        <v>46</v>
      </c>
      <c r="G15" s="15"/>
    </row>
    <row r="16" spans="1:8" ht="27" customHeight="1" x14ac:dyDescent="0.3">
      <c r="A16" s="11">
        <f>IF(COUNTA(C16:C$1000)=0,"",ROW()-ROW($A$2))</f>
        <v>14</v>
      </c>
      <c r="B16" s="12" t="s">
        <v>43</v>
      </c>
      <c r="C16" s="12" t="s">
        <v>41</v>
      </c>
      <c r="D16" s="12" t="s">
        <v>42</v>
      </c>
      <c r="E16" s="13" t="s">
        <v>9</v>
      </c>
      <c r="F16" s="14">
        <v>46264</v>
      </c>
      <c r="G16" s="15"/>
    </row>
    <row r="17" spans="1:7" ht="27" customHeight="1" x14ac:dyDescent="0.3">
      <c r="A17" s="11">
        <f>IF(COUNTA(C17:C$1000)=0,"",ROW()-ROW($A$2))</f>
        <v>15</v>
      </c>
      <c r="B17" s="12" t="s">
        <v>48</v>
      </c>
      <c r="C17" s="12" t="s">
        <v>47</v>
      </c>
      <c r="D17" s="12" t="s">
        <v>37</v>
      </c>
      <c r="E17" s="13" t="s">
        <v>9</v>
      </c>
      <c r="F17" s="14">
        <v>46266</v>
      </c>
      <c r="G17" s="15"/>
    </row>
    <row r="18" spans="1:7" ht="27" customHeight="1" x14ac:dyDescent="0.3">
      <c r="A18" s="11">
        <f>IF(COUNTA(C18:C$1000)=0,"",ROW()-ROW($A$2))</f>
        <v>16</v>
      </c>
      <c r="B18" s="12" t="s">
        <v>50</v>
      </c>
      <c r="C18" s="12" t="s">
        <v>47</v>
      </c>
      <c r="D18" s="12" t="s">
        <v>49</v>
      </c>
      <c r="E18" s="13" t="s">
        <v>9</v>
      </c>
      <c r="F18" s="14">
        <v>46267</v>
      </c>
      <c r="G18" s="15"/>
    </row>
    <row r="19" spans="1:7" ht="27" customHeight="1" x14ac:dyDescent="0.3">
      <c r="A19" s="11">
        <f>IF(COUNTA(C19:C$1000)=0,"",ROW()-ROW($A$2))</f>
        <v>17</v>
      </c>
      <c r="B19" s="12" t="s">
        <v>51</v>
      </c>
      <c r="C19" s="12" t="s">
        <v>52</v>
      </c>
      <c r="D19" s="12" t="s">
        <v>37</v>
      </c>
      <c r="E19" s="13" t="s">
        <v>9</v>
      </c>
      <c r="F19" s="14">
        <v>46278</v>
      </c>
      <c r="G19" s="15"/>
    </row>
    <row r="20" spans="1:7" ht="27" customHeight="1" x14ac:dyDescent="0.3">
      <c r="A20" s="11">
        <f>IF(COUNTA(C20:C$1000)=0,"",ROW()-ROW($A$2))</f>
        <v>18</v>
      </c>
      <c r="B20" s="12" t="str">
        <f ca="1">IF(C20="","",IF(E20="وارد","بدون رقم","AAR-"&amp;YEAR(IF(N(F20)=0,TODAY(),F20))&amp;"-"&amp;TEXT(MONTH(IF(N(F20)=0,TODAY(),F20)),"00")&amp;"-"&amp;TEXT(COUNTIF(B$3:B19,"AAR-*")+1,"0000")))</f>
        <v>AAR-2026-09-0016</v>
      </c>
      <c r="C20" s="12" t="s">
        <v>53</v>
      </c>
      <c r="D20" s="12" t="s">
        <v>58</v>
      </c>
      <c r="E20" s="13" t="s">
        <v>9</v>
      </c>
      <c r="F20" s="14">
        <v>46295</v>
      </c>
      <c r="G20" s="15"/>
    </row>
    <row r="21" spans="1:7" ht="27" customHeight="1" x14ac:dyDescent="0.3">
      <c r="A21" s="11">
        <f>IF(COUNTA(C21:C$1000)=0,"",ROW()-ROW($A$2))</f>
        <v>19</v>
      </c>
      <c r="B21" s="12" t="str">
        <f ca="1">IF(C21="","",IF(E21="وارد","بدون رقم","AAR-"&amp;YEAR(IF(N(F21)=0,TODAY(),F21))&amp;"-"&amp;TEXT(MONTH(IF(N(F21)=0,TODAY(),F21)),"00")&amp;"-"&amp;TEXT(COUNTIF(B$3:B20,"AAR-*")+1,"0000")))</f>
        <v>AAR-2026-09-0017</v>
      </c>
      <c r="C21" s="12" t="s">
        <v>54</v>
      </c>
      <c r="D21" s="12" t="s">
        <v>59</v>
      </c>
      <c r="E21" s="13" t="s">
        <v>9</v>
      </c>
      <c r="F21" s="14">
        <f ca="1">IF(C21="","",IF(N(F21)=0,TODAY(),F21))</f>
        <v>46295</v>
      </c>
      <c r="G21" s="15"/>
    </row>
    <row r="22" spans="1:7" ht="27" customHeight="1" x14ac:dyDescent="0.3">
      <c r="A22" s="11">
        <f>IF(COUNTA(C22:C$1000)=0,"",ROW()-ROW($A$2))</f>
        <v>20</v>
      </c>
      <c r="B22" s="12" t="str">
        <f ca="1">IF(C22="","",IF(E22="وارد","بدون رقم","AAR-"&amp;YEAR(IF(N(F22)=0,TODAY(),F22))&amp;"-"&amp;TEXT(MONTH(IF(N(F22)=0,TODAY(),F22)),"00")&amp;"-"&amp;TEXT(COUNTIF(B$3:B21,"AAR-*")+1,"0000")))</f>
        <v>AAR-2026-09-0018</v>
      </c>
      <c r="C22" s="12" t="s">
        <v>55</v>
      </c>
      <c r="D22" s="12" t="s">
        <v>60</v>
      </c>
      <c r="E22" s="13" t="s">
        <v>9</v>
      </c>
      <c r="F22" s="14">
        <f ca="1">IF(C22="","",IF(N(F22)=0,TODAY(),F22))</f>
        <v>46295</v>
      </c>
      <c r="G22" s="15"/>
    </row>
    <row r="23" spans="1:7" ht="27" customHeight="1" x14ac:dyDescent="0.3">
      <c r="A23" s="16">
        <f>IF(COUNTA(C23:C$1000)=0,"",ROW()-ROW($A$2))</f>
        <v>21</v>
      </c>
      <c r="B23" s="17" t="str">
        <f ca="1">IF(C23="","",IF(E23="وارد","بدون رقم","AAR-"&amp;YEAR(IF(N(F23)=0,TODAY(),F23))&amp;"-"&amp;TEXT(MONTH(IF(N(F23)=0,TODAY(),F23)),"00")&amp;"-"&amp;TEXT(COUNTIF(B$3:B22,"AAR-*")+1,"0000")))</f>
        <v>AAR-2026-09-0019</v>
      </c>
      <c r="C23" s="17" t="s">
        <v>56</v>
      </c>
      <c r="D23" s="12" t="s">
        <v>61</v>
      </c>
      <c r="E23" s="13" t="s">
        <v>9</v>
      </c>
      <c r="F23" s="14">
        <f ca="1">IF(C23="","",IF(N(F23)=0,TODAY(),F23))</f>
        <v>46295</v>
      </c>
      <c r="G23" s="15"/>
    </row>
    <row r="24" spans="1:7" ht="27" customHeight="1" x14ac:dyDescent="0.3">
      <c r="A24" s="13">
        <f>IF(COUNTA(C24:C$1000)=0,"",ROW()-ROW($A$2))</f>
        <v>22</v>
      </c>
      <c r="B24" s="12" t="str">
        <f ca="1">IF(C24="","",IF(E24="وارد","بدون رقم","AAR-"&amp;YEAR(IF(N(F24)=0,TODAY(),F24))&amp;"-"&amp;TEXT(MONTH(IF(N(F24)=0,TODAY(),F24)),"00")&amp;"-"&amp;TEXT(COUNTIF(B$3:B23,"AAR-*")+1,"0000")))</f>
        <v>AAR-2026-09-0020</v>
      </c>
      <c r="C24" s="12" t="s">
        <v>57</v>
      </c>
      <c r="D24" s="12" t="s">
        <v>62</v>
      </c>
      <c r="E24" s="13" t="s">
        <v>9</v>
      </c>
      <c r="F24" s="14">
        <f ca="1">IF(C24="","",IF(N(F24)=0,TODAY(),F24))</f>
        <v>46295</v>
      </c>
      <c r="G24" s="15"/>
    </row>
    <row r="25" spans="1:7" ht="27" customHeight="1" x14ac:dyDescent="0.3">
      <c r="A25" s="13" t="str">
        <f>IF(COUNTA(C25:C$1000)=0,"",ROW()-ROW($A$2))</f>
        <v/>
      </c>
      <c r="B25" s="12" t="str">
        <f ca="1">IF(C25="","",IF(E25="وارد","بدون رقم","AAR-"&amp;YEAR(IF(N(F25)=0,TODAY(),F25))&amp;"-"&amp;TEXT(MONTH(IF(N(F25)=0,TODAY(),F25)),"00")&amp;"-"&amp;TEXT(COUNTIF(B$3:B24,"AAR-*")+1,"0000")))</f>
        <v/>
      </c>
      <c r="C25" s="12"/>
      <c r="D25" s="12"/>
      <c r="E25" s="11"/>
      <c r="F25" s="14" t="str">
        <f ca="1">IF(C25="","",IF(N(F25)=0,TODAY(),F25))</f>
        <v/>
      </c>
      <c r="G25" s="15"/>
    </row>
    <row r="26" spans="1:7" ht="27" customHeight="1" x14ac:dyDescent="0.3">
      <c r="A26" s="13" t="str">
        <f>IF(COUNTA(C26:C$1000)=0,"",ROW()-ROW($A$2))</f>
        <v/>
      </c>
      <c r="B26" s="12" t="str">
        <f ca="1">IF(C26="","",IF(E26="وارد","بدون رقم","AAR-"&amp;YEAR(IF(N(F26)=0,TODAY(),F26))&amp;"-"&amp;TEXT(MONTH(IF(N(F26)=0,TODAY(),F26)),"00")&amp;"-"&amp;TEXT(COUNTIF(B$3:B25,"AAR-*")+1,"0000")))</f>
        <v/>
      </c>
      <c r="C26" s="12"/>
      <c r="D26" s="12"/>
      <c r="E26" s="11"/>
      <c r="F26" s="14" t="str">
        <f ca="1">IF(C26="","",IF(N(F26)=0,TODAY(),F26))</f>
        <v/>
      </c>
      <c r="G26" s="15"/>
    </row>
    <row r="27" spans="1:7" ht="27" customHeight="1" x14ac:dyDescent="0.3">
      <c r="A27" s="13" t="str">
        <f>IF(COUNTA(C27:C$1000)=0,"",ROW()-ROW($A$2))</f>
        <v/>
      </c>
      <c r="B27" s="12" t="str">
        <f ca="1">IF(C27="","",IF(E27="وارد","بدون رقم","AAR-"&amp;YEAR(IF(N(F27)=0,TODAY(),F27))&amp;"-"&amp;TEXT(MONTH(IF(N(F27)=0,TODAY(),F27)),"00")&amp;"-"&amp;TEXT(COUNTIF(B$3:B26,"AAR-*")+1,"0000")))</f>
        <v/>
      </c>
      <c r="C27" s="12"/>
      <c r="D27" s="12"/>
      <c r="E27" s="11"/>
      <c r="F27" s="14" t="str">
        <f ca="1">IF(C27="","",IF(N(F27)=0,TODAY(),F27))</f>
        <v/>
      </c>
      <c r="G27" s="15"/>
    </row>
    <row r="28" spans="1:7" ht="27" customHeight="1" x14ac:dyDescent="0.3">
      <c r="A28" s="13" t="str">
        <f>IF(COUNTA(C28:C$1000)=0,"",ROW()-ROW($A$2))</f>
        <v/>
      </c>
      <c r="B28" s="12" t="str">
        <f ca="1">IF(C28="","",IF(E28="وارد","بدون رقم","AAR-"&amp;YEAR(IF(N(F28)=0,TODAY(),F28))&amp;"-"&amp;TEXT(MONTH(IF(N(F28)=0,TODAY(),F28)),"00")&amp;"-"&amp;TEXT(COUNTIF(B$3:B27,"AAR-*")+1,"0000")))</f>
        <v/>
      </c>
      <c r="C28" s="12"/>
      <c r="D28" s="12"/>
      <c r="E28" s="11"/>
      <c r="F28" s="14" t="str">
        <f ca="1">IF(C28="","",IF(N(F28)=0,TODAY(),F28))</f>
        <v/>
      </c>
      <c r="G28" s="15"/>
    </row>
    <row r="29" spans="1:7" ht="27" customHeight="1" x14ac:dyDescent="0.3">
      <c r="A29" s="13" t="str">
        <f>IF(COUNTA(C29:C$1000)=0,"",ROW()-ROW($A$2))</f>
        <v/>
      </c>
      <c r="B29" s="12" t="str">
        <f ca="1">IF(C29="","",IF(E29="وارد","بدون رقم","AAR-"&amp;YEAR(IF(N(F29)=0,TODAY(),F29))&amp;"-"&amp;TEXT(MONTH(IF(N(F29)=0,TODAY(),F29)),"00")&amp;"-"&amp;TEXT(COUNTIF(B$3:B28,"AAR-*")+1,"0000")))</f>
        <v/>
      </c>
      <c r="C29" s="12"/>
      <c r="D29" s="12"/>
      <c r="E29" s="11"/>
      <c r="F29" s="14" t="str">
        <f ca="1">IF(C29="","",IF(N(F29)=0,TODAY(),F29))</f>
        <v/>
      </c>
      <c r="G29" s="15"/>
    </row>
    <row r="30" spans="1:7" ht="27" customHeight="1" x14ac:dyDescent="0.3">
      <c r="A30" s="13" t="str">
        <f>IF(COUNTA(C30:C$1000)=0,"",ROW()-ROW($A$2))</f>
        <v/>
      </c>
      <c r="B30" s="12" t="str">
        <f ca="1">IF(C30="","",IF(E30="وارد","بدون رقم","AAR-"&amp;YEAR(IF(N(F30)=0,TODAY(),F30))&amp;"-"&amp;TEXT(MONTH(IF(N(F30)=0,TODAY(),F30)),"00")&amp;"-"&amp;TEXT(COUNTIF(B$3:B29,"AAR-*")+1,"0000")))</f>
        <v/>
      </c>
      <c r="C30" s="12"/>
      <c r="D30" s="12"/>
      <c r="E30" s="11"/>
      <c r="F30" s="14" t="str">
        <f ca="1">IF(C30="","",IF(N(F30)=0,TODAY(),F30))</f>
        <v/>
      </c>
      <c r="G30" s="15"/>
    </row>
    <row r="31" spans="1:7" ht="27" customHeight="1" x14ac:dyDescent="0.3">
      <c r="A31" s="13" t="str">
        <f>IF(COUNTA(C31:C$1000)=0,"",ROW()-ROW($A$2))</f>
        <v/>
      </c>
      <c r="B31" s="12" t="str">
        <f ca="1">IF(C31="","",IF(E31="وارد","بدون رقم","AAR-"&amp;YEAR(IF(N(F31)=0,TODAY(),F31))&amp;"-"&amp;TEXT(MONTH(IF(N(F31)=0,TODAY(),F31)),"00")&amp;"-"&amp;TEXT(COUNTIF(B$3:B30,"AAR-*")+1,"0000")))</f>
        <v/>
      </c>
      <c r="C31" s="12"/>
      <c r="D31" s="12"/>
      <c r="E31" s="11"/>
      <c r="F31" s="14" t="str">
        <f ca="1">IF(C31="","",IF(N(F31)=0,TODAY(),F31))</f>
        <v/>
      </c>
      <c r="G31" s="15"/>
    </row>
    <row r="32" spans="1:7" ht="27" customHeight="1" x14ac:dyDescent="0.3">
      <c r="A32" s="13" t="str">
        <f>IF(COUNTA(C32:C$1000)=0,"",ROW()-ROW($A$2))</f>
        <v/>
      </c>
      <c r="B32" s="12" t="str">
        <f ca="1">IF(C32="","",IF(E32="وارد","بدون رقم","AAR-"&amp;YEAR(IF(N(F32)=0,TODAY(),F32))&amp;"-"&amp;TEXT(MONTH(IF(N(F32)=0,TODAY(),F32)),"00")&amp;"-"&amp;TEXT(COUNTIF(B$3:B31,"AAR-*")+1,"0000")))</f>
        <v/>
      </c>
      <c r="C32" s="12"/>
      <c r="D32" s="12"/>
      <c r="E32" s="11"/>
      <c r="F32" s="14" t="str">
        <f ca="1">IF(C32="","",IF(N(F32)=0,TODAY(),F32))</f>
        <v/>
      </c>
      <c r="G32" s="15"/>
    </row>
    <row r="33" spans="1:7" ht="27" customHeight="1" x14ac:dyDescent="0.3">
      <c r="A33" s="13" t="str">
        <f>IF(COUNTA(C33:C$1000)=0,"",ROW()-ROW($A$2))</f>
        <v/>
      </c>
      <c r="B33" s="12" t="str">
        <f ca="1">IF(C33="","",IF(E33="وارد","بدون رقم","AAR-"&amp;YEAR(IF(N(F33)=0,TODAY(),F33))&amp;"-"&amp;TEXT(MONTH(IF(N(F33)=0,TODAY(),F33)),"00")&amp;"-"&amp;TEXT(COUNTIF(B$3:B32,"AAR-*")+1,"0000")))</f>
        <v/>
      </c>
      <c r="C33" s="12"/>
      <c r="D33" s="12"/>
      <c r="E33" s="11"/>
      <c r="F33" s="14" t="str">
        <f ca="1">IF(C33="","",IF(N(F33)=0,TODAY(),F33))</f>
        <v/>
      </c>
      <c r="G33" s="15"/>
    </row>
    <row r="34" spans="1:7" ht="27" customHeight="1" x14ac:dyDescent="0.3">
      <c r="A34" s="13" t="str">
        <f>IF(COUNTA(C34:C$1000)=0,"",ROW()-ROW($A$2))</f>
        <v/>
      </c>
      <c r="B34" s="12" t="str">
        <f ca="1">IF(C34="","",IF(E34="وارد","بدون رقم","AAR-"&amp;YEAR(IF(N(F34)=0,TODAY(),F34))&amp;"-"&amp;TEXT(MONTH(IF(N(F34)=0,TODAY(),F34)),"00")&amp;"-"&amp;TEXT(COUNTIF(B$3:B33,"AAR-*")+1,"0000")))</f>
        <v/>
      </c>
      <c r="C34" s="12"/>
      <c r="D34" s="12"/>
      <c r="E34" s="11"/>
      <c r="F34" s="14" t="str">
        <f ca="1">IF(C34="","",IF(N(F34)=0,TODAY(),F34))</f>
        <v/>
      </c>
      <c r="G34" s="15"/>
    </row>
    <row r="35" spans="1:7" ht="27" customHeight="1" x14ac:dyDescent="0.3">
      <c r="A35" s="13" t="str">
        <f>IF(COUNTA(C35:C$1000)=0,"",ROW()-ROW($A$2))</f>
        <v/>
      </c>
      <c r="B35" s="12" t="str">
        <f ca="1">IF(C35="","",IF(E35="وارد","بدون رقم","AAR-"&amp;YEAR(IF(N(F35)=0,TODAY(),F35))&amp;"-"&amp;TEXT(MONTH(IF(N(F35)=0,TODAY(),F35)),"00")&amp;"-"&amp;TEXT(COUNTIF(B$3:B34,"AAR-*")+1,"0000")))</f>
        <v/>
      </c>
      <c r="C35" s="12"/>
      <c r="D35" s="12"/>
      <c r="E35" s="11"/>
      <c r="F35" s="14" t="str">
        <f ca="1">IF(C35="","",IF(N(F35)=0,TODAY(),F35))</f>
        <v/>
      </c>
      <c r="G35" s="15"/>
    </row>
    <row r="36" spans="1:7" ht="27" customHeight="1" x14ac:dyDescent="0.3">
      <c r="A36" s="13" t="str">
        <f>IF(COUNTA(C36:C$1000)=0,"",ROW()-ROW($A$2))</f>
        <v/>
      </c>
      <c r="B36" s="12" t="str">
        <f ca="1">IF(C36="","",IF(E36="وارد","بدون رقم","AAR-"&amp;YEAR(IF(N(F36)=0,TODAY(),F36))&amp;"-"&amp;TEXT(MONTH(IF(N(F36)=0,TODAY(),F36)),"00")&amp;"-"&amp;TEXT(COUNTIF(B$3:B35,"AAR-*")+1,"0000")))</f>
        <v/>
      </c>
      <c r="C36" s="12"/>
      <c r="D36" s="12"/>
      <c r="E36" s="11"/>
      <c r="F36" s="14" t="str">
        <f ca="1">IF(C36="","",IF(N(F36)=0,TODAY(),F36))</f>
        <v/>
      </c>
      <c r="G36" s="15"/>
    </row>
    <row r="37" spans="1:7" ht="27" customHeight="1" x14ac:dyDescent="0.3">
      <c r="A37" s="13" t="str">
        <f>IF(COUNTA(C37:C$1000)=0,"",ROW()-ROW($A$2))</f>
        <v/>
      </c>
      <c r="B37" s="12" t="str">
        <f ca="1">IF(C37="","",IF(E37="وارد","بدون رقم","AAR-"&amp;YEAR(IF(N(F37)=0,TODAY(),F37))&amp;"-"&amp;TEXT(MONTH(IF(N(F37)=0,TODAY(),F37)),"00")&amp;"-"&amp;TEXT(COUNTIF(B$3:B36,"AAR-*")+1,"0000")))</f>
        <v/>
      </c>
      <c r="C37" s="12"/>
      <c r="D37" s="12"/>
      <c r="E37" s="11"/>
      <c r="F37" s="14" t="str">
        <f ca="1">IF(C37="","",IF(N(F37)=0,TODAY(),F37))</f>
        <v/>
      </c>
      <c r="G37" s="15"/>
    </row>
    <row r="38" spans="1:7" ht="27" customHeight="1" x14ac:dyDescent="0.3">
      <c r="A38" s="13" t="str">
        <f>IF(COUNTA(C38:C$1000)=0,"",ROW()-ROW($A$2))</f>
        <v/>
      </c>
      <c r="B38" s="12" t="str">
        <f ca="1">IF(C38="","",IF(E38="وارد","بدون رقم","AAR-"&amp;YEAR(IF(N(F38)=0,TODAY(),F38))&amp;"-"&amp;TEXT(MONTH(IF(N(F38)=0,TODAY(),F38)),"00")&amp;"-"&amp;TEXT(COUNTIF(B$3:B37,"AAR-*")+1,"0000")))</f>
        <v/>
      </c>
      <c r="C38" s="12"/>
      <c r="D38" s="12"/>
      <c r="E38" s="11"/>
      <c r="F38" s="14" t="str">
        <f ca="1">IF(C38="","",IF(N(F38)=0,TODAY(),F38))</f>
        <v/>
      </c>
      <c r="G38" s="15"/>
    </row>
    <row r="39" spans="1:7" ht="27" customHeight="1" x14ac:dyDescent="0.3">
      <c r="A39" s="13" t="str">
        <f>IF(COUNTA(C39:C$1000)=0,"",ROW()-ROW($A$2))</f>
        <v/>
      </c>
      <c r="B39" s="12" t="str">
        <f ca="1">IF(C39="","",IF(E39="وارد","بدون رقم","AAR-"&amp;YEAR(IF(N(F39)=0,TODAY(),F39))&amp;"-"&amp;TEXT(MONTH(IF(N(F39)=0,TODAY(),F39)),"00")&amp;"-"&amp;TEXT(COUNTIF(B$3:B38,"AAR-*")+1,"0000")))</f>
        <v/>
      </c>
      <c r="C39" s="12"/>
      <c r="D39" s="12"/>
      <c r="E39" s="11"/>
      <c r="F39" s="14" t="str">
        <f ca="1">IF(C39="","",IF(N(F39)=0,TODAY(),F39))</f>
        <v/>
      </c>
      <c r="G39" s="15"/>
    </row>
    <row r="40" spans="1:7" ht="27" customHeight="1" x14ac:dyDescent="0.3">
      <c r="A40" s="13" t="str">
        <f>IF(COUNTA(C40:C$1000)=0,"",ROW()-ROW($A$2))</f>
        <v/>
      </c>
      <c r="B40" s="12" t="str">
        <f ca="1">IF(C40="","",IF(E40="وارد","بدون رقم","AAR-"&amp;YEAR(IF(N(F40)=0,TODAY(),F40))&amp;"-"&amp;TEXT(MONTH(IF(N(F40)=0,TODAY(),F40)),"00")&amp;"-"&amp;TEXT(COUNTIF(B$3:B39,"AAR-*")+1,"0000")))</f>
        <v/>
      </c>
      <c r="C40" s="12"/>
      <c r="D40" s="12"/>
      <c r="E40" s="11"/>
      <c r="F40" s="14" t="str">
        <f ca="1">IF(C40="","",IF(N(F40)=0,TODAY(),F40))</f>
        <v/>
      </c>
      <c r="G40" s="15"/>
    </row>
    <row r="41" spans="1:7" ht="27" customHeight="1" x14ac:dyDescent="0.3">
      <c r="A41" s="13" t="str">
        <f>IF(COUNTA(C41:C$1000)=0,"",ROW()-ROW($A$2))</f>
        <v/>
      </c>
      <c r="B41" s="12" t="str">
        <f ca="1">IF(C41="","",IF(E41="وارد","بدون رقم","AAR-"&amp;YEAR(IF(N(F41)=0,TODAY(),F41))&amp;"-"&amp;TEXT(MONTH(IF(N(F41)=0,TODAY(),F41)),"00")&amp;"-"&amp;TEXT(COUNTIF(B$3:B40,"AAR-*")+1,"0000")))</f>
        <v/>
      </c>
      <c r="C41" s="12"/>
      <c r="D41" s="12"/>
      <c r="E41" s="11"/>
      <c r="F41" s="14" t="str">
        <f ca="1">IF(C41="","",IF(N(F41)=0,TODAY(),F41))</f>
        <v/>
      </c>
      <c r="G41" s="15"/>
    </row>
    <row r="42" spans="1:7" ht="27" customHeight="1" x14ac:dyDescent="0.3">
      <c r="A42" s="13" t="str">
        <f>IF(COUNTA(C42:C$1000)=0,"",ROW()-ROW($A$2))</f>
        <v/>
      </c>
      <c r="B42" s="12" t="str">
        <f ca="1">IF(C42="","",IF(E42="وارد","بدون رقم","AAR-"&amp;YEAR(IF(N(F42)=0,TODAY(),F42))&amp;"-"&amp;TEXT(MONTH(IF(N(F42)=0,TODAY(),F42)),"00")&amp;"-"&amp;TEXT(COUNTIF(B$3:B41,"AAR-*")+1,"0000")))</f>
        <v/>
      </c>
      <c r="C42" s="12"/>
      <c r="D42" s="12"/>
      <c r="E42" s="11"/>
      <c r="F42" s="14" t="str">
        <f ca="1">IF(C42="","",IF(N(F42)=0,TODAY(),F42))</f>
        <v/>
      </c>
      <c r="G42" s="15"/>
    </row>
    <row r="43" spans="1:7" x14ac:dyDescent="0.3">
      <c r="A43" s="13" t="str">
        <f>IF(COUNTA(C43:C$1000)=0,"",ROW()-ROW($A$2))</f>
        <v/>
      </c>
      <c r="B43" s="12" t="str">
        <f ca="1">IF(C43="","",IF(E43="وارد","بدون رقم","AAR-"&amp;YEAR(IF(N(F43)=0,TODAY(),F43))&amp;"-"&amp;TEXT(MONTH(IF(N(F43)=0,TODAY(),F43)),"00")&amp;"-"&amp;TEXT(COUNTIF(B$3:B42,"AAR-*")+1,"0000")))</f>
        <v/>
      </c>
      <c r="C43" s="12"/>
      <c r="D43" s="12"/>
      <c r="E43" s="11"/>
      <c r="F43" s="14" t="str">
        <f ca="1">IF(C43="","",IF(N(F43)=0,TODAY(),F43))</f>
        <v/>
      </c>
      <c r="G43" s="15"/>
    </row>
    <row r="44" spans="1:7" x14ac:dyDescent="0.3">
      <c r="A44" s="13" t="str">
        <f>IF(COUNTA(C44:C$1000)=0,"",ROW()-ROW($A$2))</f>
        <v/>
      </c>
      <c r="B44" s="12" t="str">
        <f ca="1">IF(C44="","",IF(E44="وارد","بدون رقم","AAR-"&amp;YEAR(IF(N(F44)=0,TODAY(),F44))&amp;"-"&amp;TEXT(MONTH(IF(N(F44)=0,TODAY(),F44)),"00")&amp;"-"&amp;TEXT(COUNTIF(B$3:B43,"AAR-*")+1,"0000")))</f>
        <v/>
      </c>
      <c r="C44" s="12"/>
      <c r="D44" s="12"/>
      <c r="E44" s="11"/>
      <c r="F44" s="14" t="str">
        <f ca="1">IF(C44="","",IF(N(F44)=0,TODAY(),F44))</f>
        <v/>
      </c>
      <c r="G44" s="15"/>
    </row>
    <row r="45" spans="1:7" x14ac:dyDescent="0.3">
      <c r="A45" s="13" t="str">
        <f>IF(COUNTA(C45:C$1000)=0,"",ROW()-ROW($A$2))</f>
        <v/>
      </c>
      <c r="B45" s="12" t="str">
        <f ca="1">IF(C45="","",IF(E45="وارد","بدون رقم","AAR-"&amp;YEAR(IF(N(F45)=0,TODAY(),F45))&amp;"-"&amp;TEXT(MONTH(IF(N(F45)=0,TODAY(),F45)),"00")&amp;"-"&amp;TEXT(COUNTIF(B$3:B44,"AAR-*")+1,"0000")))</f>
        <v/>
      </c>
      <c r="C45" s="12"/>
      <c r="D45" s="12"/>
      <c r="E45" s="11"/>
      <c r="F45" s="14" t="str">
        <f ca="1">IF(C45="","",IF(N(F45)=0,TODAY(),F45))</f>
        <v/>
      </c>
      <c r="G45" s="15"/>
    </row>
    <row r="46" spans="1:7" x14ac:dyDescent="0.3">
      <c r="A46" s="13" t="str">
        <f>IF(COUNTA(C46:C$1000)=0,"",ROW()-ROW($A$2))</f>
        <v/>
      </c>
      <c r="B46" s="12" t="str">
        <f ca="1">IF(C46="","",IF(E46="وارد","بدون رقم","AAR-"&amp;YEAR(IF(N(F46)=0,TODAY(),F46))&amp;"-"&amp;TEXT(MONTH(IF(N(F46)=0,TODAY(),F46)),"00")&amp;"-"&amp;TEXT(COUNTIF(B$3:B45,"AAR-*")+1,"0000")))</f>
        <v/>
      </c>
      <c r="C46" s="12"/>
      <c r="D46" s="12"/>
      <c r="E46" s="11"/>
      <c r="F46" s="14" t="str">
        <f ca="1">IF(C46="","",IF(N(F46)=0,TODAY(),F46))</f>
        <v/>
      </c>
      <c r="G46" s="15"/>
    </row>
    <row r="47" spans="1:7" x14ac:dyDescent="0.3">
      <c r="A47" s="13" t="str">
        <f>IF(COUNTA(C47:C$1000)=0,"",ROW()-ROW($A$2))</f>
        <v/>
      </c>
      <c r="B47" s="12" t="str">
        <f ca="1">IF(C47="","",IF(E47="وارد","بدون رقم","AAR-"&amp;YEAR(IF(N(F47)=0,TODAY(),F47))&amp;"-"&amp;TEXT(MONTH(IF(N(F47)=0,TODAY(),F47)),"00")&amp;"-"&amp;TEXT(COUNTIF(B$3:B46,"AAR-*")+1,"0000")))</f>
        <v/>
      </c>
      <c r="C47" s="12"/>
      <c r="D47" s="12"/>
      <c r="E47" s="11"/>
      <c r="F47" s="14" t="str">
        <f ca="1">IF(C47="","",IF(N(F47)=0,TODAY(),F47))</f>
        <v/>
      </c>
      <c r="G47" s="15"/>
    </row>
    <row r="48" spans="1:7" x14ac:dyDescent="0.3">
      <c r="A48" s="13" t="str">
        <f>IF(COUNTA(C48:C$1000)=0,"",ROW()-ROW($A$2))</f>
        <v/>
      </c>
      <c r="B48" s="12" t="str">
        <f ca="1">IF(C48="","",IF(E48="وارد","بدون رقم","AAR-"&amp;YEAR(IF(N(F48)=0,TODAY(),F48))&amp;"-"&amp;TEXT(MONTH(IF(N(F48)=0,TODAY(),F48)),"00")&amp;"-"&amp;TEXT(COUNTIF(B$3:B47,"AAR-*")+1,"0000")))</f>
        <v/>
      </c>
      <c r="C48" s="12"/>
      <c r="D48" s="12"/>
      <c r="E48" s="11"/>
      <c r="F48" s="14" t="str">
        <f ca="1">IF(C48="","",IF(N(F48)=0,TODAY(),F48))</f>
        <v/>
      </c>
      <c r="G48" s="15"/>
    </row>
    <row r="49" spans="1:7" x14ac:dyDescent="0.3">
      <c r="A49" s="13" t="str">
        <f>IF(COUNTA(C49:C$1000)=0,"",ROW()-ROW($A$2))</f>
        <v/>
      </c>
      <c r="B49" s="12" t="str">
        <f ca="1">IF(C49="","",IF(E49="وارد","بدون رقم","AAR-"&amp;YEAR(IF(N(F49)=0,TODAY(),F49))&amp;"-"&amp;TEXT(MONTH(IF(N(F49)=0,TODAY(),F49)),"00")&amp;"-"&amp;TEXT(COUNTIF(B$3:B48,"AAR-*")+1,"0000")))</f>
        <v/>
      </c>
      <c r="C49" s="12"/>
      <c r="D49" s="12"/>
      <c r="E49" s="11"/>
      <c r="F49" s="14" t="str">
        <f ca="1">IF(C49="","",IF(N(F49)=0,TODAY(),F49))</f>
        <v/>
      </c>
      <c r="G49" s="15"/>
    </row>
    <row r="50" spans="1:7" x14ac:dyDescent="0.3">
      <c r="A50" s="13" t="str">
        <f>IF(COUNTA(C50:C$1000)=0,"",ROW()-ROW($A$2))</f>
        <v/>
      </c>
      <c r="B50" s="12" t="str">
        <f ca="1">IF(C50="","",IF(E50="وارد","بدون رقم","AAR-"&amp;YEAR(IF(N(F50)=0,TODAY(),F50))&amp;"-"&amp;TEXT(MONTH(IF(N(F50)=0,TODAY(),F50)),"00")&amp;"-"&amp;TEXT(COUNTIF(B$3:B49,"AAR-*")+1,"0000")))</f>
        <v/>
      </c>
      <c r="C50" s="12"/>
      <c r="D50" s="12"/>
      <c r="E50" s="11"/>
      <c r="F50" s="14" t="str">
        <f ca="1">IF(C50="","",IF(N(F50)=0,TODAY(),F50))</f>
        <v/>
      </c>
      <c r="G50" s="15"/>
    </row>
    <row r="51" spans="1:7" x14ac:dyDescent="0.3">
      <c r="A51" s="13" t="str">
        <f>IF(COUNTA(C51:C$1000)=0,"",ROW()-ROW($A$2))</f>
        <v/>
      </c>
      <c r="B51" s="12" t="str">
        <f ca="1">IF(C51="","",IF(E51="وارد","بدون رقم","AAR-"&amp;YEAR(IF(N(F51)=0,TODAY(),F51))&amp;"-"&amp;TEXT(MONTH(IF(N(F51)=0,TODAY(),F51)),"00")&amp;"-"&amp;TEXT(COUNTIF(B$3:B50,"AAR-*")+1,"0000")))</f>
        <v/>
      </c>
      <c r="C51" s="12"/>
      <c r="D51" s="12"/>
      <c r="E51" s="11"/>
      <c r="F51" s="14" t="str">
        <f ca="1">IF(C51="","",IF(N(F51)=0,TODAY(),F51))</f>
        <v/>
      </c>
      <c r="G51" s="15"/>
    </row>
    <row r="52" spans="1:7" x14ac:dyDescent="0.3">
      <c r="A52" s="18" t="str">
        <f>IF(COUNTA(C52:C$1000)=0,"",ROW()-ROW($A$2))</f>
        <v/>
      </c>
      <c r="B52" s="17" t="str">
        <f ca="1">IF(C52="","",IF(E52="وارد","بدون رقم","AAR-"&amp;YEAR(IF(N(F52)=0,TODAY(),F52))&amp;"-"&amp;TEXT(MONTH(IF(N(F52)=0,TODAY(),F52)),"00")&amp;"-"&amp;TEXT(COUNTIF(B$3:B51,"AAR-*")+1,"0000")))</f>
        <v/>
      </c>
      <c r="C52" s="17"/>
      <c r="D52" s="17"/>
      <c r="E52" s="16"/>
      <c r="F52" s="14" t="str">
        <f ca="1">IF(C52="","",IF(N(F52)=0,TODAY(),F52))</f>
        <v/>
      </c>
      <c r="G52" s="15"/>
    </row>
    <row r="53" spans="1:7" x14ac:dyDescent="0.3">
      <c r="A53" s="13" t="str">
        <f>IF(COUNTA(C53:C$1000)=0,"",ROW()-ROW($A$2))</f>
        <v/>
      </c>
      <c r="B53" s="17" t="str">
        <f ca="1">IF(C53="","",IF(E53="وارد","بدون رقم","AAR-"&amp;YEAR(IF(N(F53)=0,TODAY(),F53))&amp;"-"&amp;TEXT(MONTH(IF(N(F53)=0,TODAY(),F53)),"00")&amp;"-"&amp;TEXT(COUNTIF(B$3:B52,"AAR-*")+1,"0000")))</f>
        <v/>
      </c>
      <c r="C53" s="12"/>
      <c r="D53" s="12"/>
      <c r="E53" s="16"/>
      <c r="F53" s="14" t="str">
        <f ca="1">IF(C53="","",IF(N(F53)=0,TODAY(),F53))</f>
        <v/>
      </c>
      <c r="G53" s="15"/>
    </row>
    <row r="54" spans="1:7" x14ac:dyDescent="0.3">
      <c r="A54" s="13" t="str">
        <f>IF(COUNTA(C54:C$1000)=0,"",ROW()-ROW($A$2))</f>
        <v/>
      </c>
      <c r="B54" s="17" t="str">
        <f ca="1">IF(C54="","",IF(E54="وارد","بدون رقم","AAR-"&amp;YEAR(IF(N(F54)=0,TODAY(),F54))&amp;"-"&amp;TEXT(MONTH(IF(N(F54)=0,TODAY(),F54)),"00")&amp;"-"&amp;TEXT(COUNTIF(B$3:B53,"AAR-*")+1,"0000")))</f>
        <v/>
      </c>
      <c r="C54" s="12"/>
      <c r="D54" s="12"/>
      <c r="E54" s="16"/>
      <c r="F54" s="14" t="str">
        <f ca="1">IF(C54="","",IF(N(F54)=0,TODAY(),F54))</f>
        <v/>
      </c>
      <c r="G54" s="15"/>
    </row>
    <row r="55" spans="1:7" x14ac:dyDescent="0.3">
      <c r="A55" s="13" t="str">
        <f>IF(COUNTA(C55:C$1000)=0,"",ROW()-ROW($A$2))</f>
        <v/>
      </c>
      <c r="B55" s="17" t="str">
        <f ca="1">IF(C55="","",IF(E55="وارد","بدون رقم","AAR-"&amp;YEAR(IF(N(F55)=0,TODAY(),F55))&amp;"-"&amp;TEXT(MONTH(IF(N(F55)=0,TODAY(),F55)),"00")&amp;"-"&amp;TEXT(COUNTIF(B$3:B54,"AAR-*")+1,"0000")))</f>
        <v/>
      </c>
      <c r="C55" s="12"/>
      <c r="D55" s="12"/>
      <c r="E55" s="16"/>
      <c r="F55" s="14" t="str">
        <f ca="1">IF(C55="","",IF(N(F55)=0,TODAY(),F55))</f>
        <v/>
      </c>
      <c r="G55" s="15"/>
    </row>
    <row r="56" spans="1:7" x14ac:dyDescent="0.3">
      <c r="A56" s="13" t="str">
        <f>IF(COUNTA(C56:C$1000)=0,"",ROW()-ROW($A$2))</f>
        <v/>
      </c>
      <c r="B56" s="17" t="str">
        <f ca="1">IF(C56="","",IF(E56="وارد","بدون رقم","AAR-"&amp;YEAR(IF(N(F56)=0,TODAY(),F56))&amp;"-"&amp;TEXT(MONTH(IF(N(F56)=0,TODAY(),F56)),"00")&amp;"-"&amp;TEXT(COUNTIF(B$3:B55,"AAR-*")+1,"0000")))</f>
        <v/>
      </c>
      <c r="C56" s="12"/>
      <c r="D56" s="12"/>
      <c r="E56" s="16"/>
      <c r="F56" s="14" t="str">
        <f ca="1">IF(C56="","",IF(N(F56)=0,TODAY(),F56))</f>
        <v/>
      </c>
      <c r="G56" s="15"/>
    </row>
    <row r="57" spans="1:7" x14ac:dyDescent="0.3">
      <c r="A57" s="13" t="str">
        <f>IF(COUNTA(C57:C$1000)=0,"",ROW()-ROW($A$2))</f>
        <v/>
      </c>
      <c r="B57" s="17" t="str">
        <f ca="1">IF(C57="","",IF(E57="وارد","بدون رقم","AAR-"&amp;YEAR(IF(N(F57)=0,TODAY(),F57))&amp;"-"&amp;TEXT(MONTH(IF(N(F57)=0,TODAY(),F57)),"00")&amp;"-"&amp;TEXT(COUNTIF(B$3:B56,"AAR-*")+1,"0000")))</f>
        <v/>
      </c>
      <c r="C57" s="12"/>
      <c r="D57" s="12"/>
      <c r="E57" s="16"/>
      <c r="F57" s="14" t="str">
        <f ca="1">IF(C57="","",IF(N(F57)=0,TODAY(),F57))</f>
        <v/>
      </c>
      <c r="G57" s="15"/>
    </row>
    <row r="58" spans="1:7" x14ac:dyDescent="0.3">
      <c r="A58" s="13" t="str">
        <f>IF(COUNTA(C58:C$1000)=0,"",ROW()-ROW($A$2))</f>
        <v/>
      </c>
      <c r="B58" s="17" t="str">
        <f ca="1">IF(C58="","",IF(E58="وارد","بدون رقم","AAR-"&amp;YEAR(IF(N(F58)=0,TODAY(),F58))&amp;"-"&amp;TEXT(MONTH(IF(N(F58)=0,TODAY(),F58)),"00")&amp;"-"&amp;TEXT(COUNTIF(B$3:B57,"AAR-*")+1,"0000")))</f>
        <v/>
      </c>
      <c r="C58" s="12"/>
      <c r="D58" s="12"/>
      <c r="E58" s="16"/>
      <c r="F58" s="14" t="str">
        <f ca="1">IF(C58="","",IF(N(F58)=0,TODAY(),F58))</f>
        <v/>
      </c>
      <c r="G58" s="15"/>
    </row>
    <row r="59" spans="1:7" x14ac:dyDescent="0.3">
      <c r="A59" s="13" t="str">
        <f>IF(COUNTA(C59:C$1000)=0,"",ROW()-ROW($A$2))</f>
        <v/>
      </c>
      <c r="B59" s="17" t="str">
        <f ca="1">IF(C59="","",IF(E59="وارد","بدون رقم","AAR-"&amp;YEAR(IF(N(F59)=0,TODAY(),F59))&amp;"-"&amp;TEXT(MONTH(IF(N(F59)=0,TODAY(),F59)),"00")&amp;"-"&amp;TEXT(COUNTIF(B$3:B58,"AAR-*")+1,"0000")))</f>
        <v/>
      </c>
      <c r="C59" s="12"/>
      <c r="D59" s="12"/>
      <c r="E59" s="16"/>
      <c r="F59" s="14" t="str">
        <f ca="1">IF(C59="","",IF(N(F59)=0,TODAY(),F59))</f>
        <v/>
      </c>
      <c r="G59" s="15"/>
    </row>
    <row r="60" spans="1:7" x14ac:dyDescent="0.3">
      <c r="A60" s="13" t="str">
        <f>IF(COUNTA(C60:C$1000)=0,"",ROW()-ROW($A$2))</f>
        <v/>
      </c>
      <c r="B60" s="17" t="str">
        <f ca="1">IF(C60="","",IF(E60="وارد","بدون رقم","AAR-"&amp;YEAR(IF(N(F60)=0,TODAY(),F60))&amp;"-"&amp;TEXT(MONTH(IF(N(F60)=0,TODAY(),F60)),"00")&amp;"-"&amp;TEXT(COUNTIF(B$3:B59,"AAR-*")+1,"0000")))</f>
        <v/>
      </c>
      <c r="C60" s="12"/>
      <c r="D60" s="12"/>
      <c r="E60" s="16"/>
      <c r="F60" s="14" t="str">
        <f ca="1">IF(C60="","",IF(N(F60)=0,TODAY(),F60))</f>
        <v/>
      </c>
      <c r="G60" s="15"/>
    </row>
    <row r="61" spans="1:7" x14ac:dyDescent="0.3">
      <c r="A61" s="13" t="str">
        <f>IF(COUNTA(C61:C$1000)=0,"",ROW()-ROW($A$2))</f>
        <v/>
      </c>
      <c r="B61" s="17" t="str">
        <f ca="1">IF(C61="","",IF(E61="وارد","بدون رقم","AAR-"&amp;YEAR(IF(N(F61)=0,TODAY(),F61))&amp;"-"&amp;TEXT(MONTH(IF(N(F61)=0,TODAY(),F61)),"00")&amp;"-"&amp;TEXT(COUNTIF(B$3:B60,"AAR-*")+1,"0000")))</f>
        <v/>
      </c>
      <c r="C61" s="12"/>
      <c r="D61" s="12"/>
      <c r="E61" s="16"/>
      <c r="F61" s="14" t="str">
        <f ca="1">IF(C61="","",IF(N(F61)=0,TODAY(),F61))</f>
        <v/>
      </c>
      <c r="G61" s="15"/>
    </row>
    <row r="62" spans="1:7" x14ac:dyDescent="0.3">
      <c r="A62" s="13" t="str">
        <f>IF(COUNTA(C62:C$1000)=0,"",ROW()-ROW($A$2))</f>
        <v/>
      </c>
      <c r="B62" s="17" t="str">
        <f ca="1">IF(C62="","",IF(E62="وارد","بدون رقم","AAR-"&amp;YEAR(IF(N(F62)=0,TODAY(),F62))&amp;"-"&amp;TEXT(MONTH(IF(N(F62)=0,TODAY(),F62)),"00")&amp;"-"&amp;TEXT(COUNTIF(B$3:B61,"AAR-*")+1,"0000")))</f>
        <v/>
      </c>
      <c r="C62" s="12"/>
      <c r="D62" s="12"/>
      <c r="E62" s="16"/>
      <c r="F62" s="14" t="str">
        <f ca="1">IF(C62="","",IF(N(F62)=0,TODAY(),F62))</f>
        <v/>
      </c>
      <c r="G62" s="15"/>
    </row>
    <row r="63" spans="1:7" x14ac:dyDescent="0.3">
      <c r="A63" s="13" t="str">
        <f>IF(COUNTA(C63:C$1000)=0,"",ROW()-ROW($A$2))</f>
        <v/>
      </c>
      <c r="B63" s="17" t="str">
        <f ca="1">IF(C63="","",IF(E63="وارد","بدون رقم","AAR-"&amp;YEAR(IF(N(F63)=0,TODAY(),F63))&amp;"-"&amp;TEXT(MONTH(IF(N(F63)=0,TODAY(),F63)),"00")&amp;"-"&amp;TEXT(COUNTIF(B$3:B62,"AAR-*")+1,"0000")))</f>
        <v/>
      </c>
      <c r="C63" s="12"/>
      <c r="D63" s="12"/>
      <c r="E63" s="16"/>
      <c r="F63" s="14" t="str">
        <f ca="1">IF(C63="","",IF(N(F63)=0,TODAY(),F63))</f>
        <v/>
      </c>
      <c r="G63" s="15"/>
    </row>
    <row r="64" spans="1:7" x14ac:dyDescent="0.3">
      <c r="A64" s="13" t="str">
        <f>IF(COUNTA(C64:C$1000)=0,"",ROW()-ROW($A$2))</f>
        <v/>
      </c>
      <c r="B64" s="17" t="str">
        <f ca="1">IF(C64="","",IF(E64="وارد","بدون رقم","AAR-"&amp;YEAR(IF(N(F64)=0,TODAY(),F64))&amp;"-"&amp;TEXT(MONTH(IF(N(F64)=0,TODAY(),F64)),"00")&amp;"-"&amp;TEXT(COUNTIF(B$3:B63,"AAR-*")+1,"0000")))</f>
        <v/>
      </c>
      <c r="C64" s="12"/>
      <c r="D64" s="12"/>
      <c r="E64" s="16"/>
      <c r="F64" s="14" t="str">
        <f ca="1">IF(C64="","",IF(N(F64)=0,TODAY(),F64))</f>
        <v/>
      </c>
      <c r="G64" s="15"/>
    </row>
    <row r="65" spans="1:7" x14ac:dyDescent="0.3">
      <c r="A65" s="13" t="str">
        <f>IF(COUNTA(C65:C$1000)=0,"",ROW()-ROW($A$2))</f>
        <v/>
      </c>
      <c r="B65" s="17" t="str">
        <f ca="1">IF(C65="","",IF(E65="وارد","بدون رقم","AAR-"&amp;YEAR(IF(N(F65)=0,TODAY(),F65))&amp;"-"&amp;TEXT(MONTH(IF(N(F65)=0,TODAY(),F65)),"00")&amp;"-"&amp;TEXT(COUNTIF(B$3:B64,"AAR-*")+1,"0000")))</f>
        <v/>
      </c>
      <c r="C65" s="12"/>
      <c r="D65" s="12"/>
      <c r="E65" s="16"/>
      <c r="F65" s="14" t="str">
        <f ca="1">IF(C65="","",IF(N(F65)=0,TODAY(),F65))</f>
        <v/>
      </c>
      <c r="G65" s="15"/>
    </row>
    <row r="66" spans="1:7" x14ac:dyDescent="0.3">
      <c r="A66" s="13" t="str">
        <f>IF(COUNTA(C66:C$1000)=0,"",ROW()-ROW($A$2))</f>
        <v/>
      </c>
      <c r="B66" s="17" t="str">
        <f ca="1">IF(C66="","",IF(E66="وارد","بدون رقم","AAR-"&amp;YEAR(IF(N(F66)=0,TODAY(),F66))&amp;"-"&amp;TEXT(MONTH(IF(N(F66)=0,TODAY(),F66)),"00")&amp;"-"&amp;TEXT(COUNTIF(B$3:B65,"AAR-*")+1,"0000")))</f>
        <v/>
      </c>
      <c r="C66" s="12"/>
      <c r="D66" s="12"/>
      <c r="E66" s="16"/>
      <c r="F66" s="14" t="str">
        <f ca="1">IF(C66="","",IF(N(F66)=0,TODAY(),F66))</f>
        <v/>
      </c>
      <c r="G66" s="15"/>
    </row>
    <row r="67" spans="1:7" x14ac:dyDescent="0.3">
      <c r="A67" s="13" t="str">
        <f>IF(COUNTA(C67:C$1000)=0,"",ROW()-ROW($A$2))</f>
        <v/>
      </c>
      <c r="B67" s="17" t="str">
        <f ca="1">IF(C67="","",IF(E67="وارد","بدون رقم","AAR-"&amp;YEAR(IF(N(F67)=0,TODAY(),F67))&amp;"-"&amp;TEXT(MONTH(IF(N(F67)=0,TODAY(),F67)),"00")&amp;"-"&amp;TEXT(COUNTIF(B$3:B66,"AAR-*")+1,"0000")))</f>
        <v/>
      </c>
      <c r="C67" s="12"/>
      <c r="D67" s="12"/>
      <c r="E67" s="16"/>
      <c r="F67" s="14" t="str">
        <f ca="1">IF(C67="","",IF(N(F67)=0,TODAY(),F67))</f>
        <v/>
      </c>
      <c r="G67" s="15"/>
    </row>
    <row r="68" spans="1:7" x14ac:dyDescent="0.3">
      <c r="A68" s="13" t="str">
        <f>IF(COUNTA(C68:C$1000)=0,"",ROW()-ROW($A$2))</f>
        <v/>
      </c>
      <c r="B68" s="17" t="str">
        <f ca="1">IF(C68="","",IF(E68="وارد","بدون رقم","AAR-"&amp;YEAR(IF(N(F68)=0,TODAY(),F68))&amp;"-"&amp;TEXT(MONTH(IF(N(F68)=0,TODAY(),F68)),"00")&amp;"-"&amp;TEXT(COUNTIF(B$3:B67,"AAR-*")+1,"0000")))</f>
        <v/>
      </c>
      <c r="C68" s="12"/>
      <c r="D68" s="12"/>
      <c r="E68" s="16"/>
      <c r="F68" s="14" t="str">
        <f ca="1">IF(C68="","",IF(N(F68)=0,TODAY(),F68))</f>
        <v/>
      </c>
      <c r="G68" s="19"/>
    </row>
  </sheetData>
  <mergeCells count="1">
    <mergeCell ref="A1:G1"/>
  </mergeCells>
  <phoneticPr fontId="2" type="noConversion"/>
  <dataValidations count="1">
    <dataValidation type="list" allowBlank="1" showInputMessage="1" showErrorMessage="1" sqref="E3:E693" xr:uid="{A5C34A6B-FBCF-4D40-90B6-F084821765EB}">
      <formula1>$H$4:$H$5</formula1>
    </dataValidation>
  </dataValidations>
  <pageMargins left="0.7" right="0.7" top="0.75" bottom="0.75" header="0.3" footer="0.3"/>
  <pageSetup paperSize="8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العقارية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Mohammed Fayyad</dc:creator>
  <cp:lastModifiedBy>Mohammed Fayyad</cp:lastModifiedBy>
  <dcterms:created xsi:type="dcterms:W3CDTF">2015-06-05T18:17:20Z</dcterms:created>
  <dcterms:modified xsi:type="dcterms:W3CDTF">2026-09-30T10:34:08Z</dcterms:modified>
</cp:coreProperties>
</file>